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FanArray\CODE\FA_Ctrl\"/>
    </mc:Choice>
  </mc:AlternateContent>
  <xr:revisionPtr revIDLastSave="0" documentId="13_ncr:1_{0F231857-7BD2-44F3-88D7-49F5D6341D82}" xr6:coauthVersionLast="47" xr6:coauthVersionMax="47" xr10:uidLastSave="{00000000-0000-0000-0000-000000000000}"/>
  <bookViews>
    <workbookView xWindow="-24285" yWindow="2865" windowWidth="19740" windowHeight="13950" activeTab="1" xr2:uid="{33FD23F6-9F23-4515-98A3-37DCFD7DD96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2" l="1"/>
  <c r="G2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tc={884D21C7-659A-4E91-B8F0-6D588451F1B6}</author>
  </authors>
  <commentList>
    <comment ref="J12" authorId="0" shapeId="0" xr:uid="{884D21C7-659A-4E91-B8F0-6D588451F1B6}">
      <text>
        <t>[线程批注]
你的Excel版本可读取此线程批注; 但如果在更新版本的Excel中打开文件，则对批注所作的任何改动都将被删除。了解详细信息: https://go.microsoft.com/fwlink/?linkid=870924
注释:
    暂时只用一帧，4个数据一起</t>
      </text>
    </comment>
  </commentList>
</comments>
</file>

<file path=xl/sharedStrings.xml><?xml version="1.0" encoding="utf-8"?>
<sst xmlns="http://schemas.openxmlformats.org/spreadsheetml/2006/main" count="160" uniqueCount="96">
  <si>
    <t>遥控帧</t>
    <phoneticPr fontId="6" type="noConversion"/>
  </si>
  <si>
    <t>数据帧</t>
    <phoneticPr fontId="6" type="noConversion"/>
  </si>
  <si>
    <t>data内容</t>
    <phoneticPr fontId="6" type="noConversion"/>
  </si>
  <si>
    <t>ID</t>
    <phoneticPr fontId="6" type="noConversion"/>
  </si>
  <si>
    <t>广播</t>
    <phoneticPr fontId="6" type="noConversion"/>
  </si>
  <si>
    <t>指定风机</t>
    <phoneticPr fontId="6" type="noConversion"/>
  </si>
  <si>
    <t>SET pid参数</t>
    <phoneticPr fontId="6" type="noConversion"/>
  </si>
  <si>
    <t>同步转速数据</t>
    <phoneticPr fontId="6" type="noConversion"/>
  </si>
  <si>
    <t>下发</t>
    <phoneticPr fontId="6" type="noConversion"/>
  </si>
  <si>
    <t>上传</t>
    <phoneticPr fontId="6" type="noConversion"/>
  </si>
  <si>
    <t>功能</t>
    <phoneticPr fontId="6" type="noConversion"/>
  </si>
  <si>
    <t>风机1&amp;2放首帧、3&amp;4放尾帧</t>
  </si>
  <si>
    <t>系统复位、风机停/启</t>
    <phoneticPr fontId="6" type="noConversion"/>
  </si>
  <si>
    <t>失/使能pid</t>
    <phoneticPr fontId="6" type="noConversion"/>
  </si>
  <si>
    <t>失/使能同步转速</t>
    <phoneticPr fontId="6" type="noConversion"/>
  </si>
  <si>
    <t>0x12-首帧、0x13-后续帧</t>
    <phoneticPr fontId="6" type="noConversion"/>
  </si>
  <si>
    <t>按风机id递增排列</t>
  </si>
  <si>
    <t>SET 目标转速（数组）</t>
    <phoneticPr fontId="6" type="noConversion"/>
  </si>
  <si>
    <t>144/2/2=36帧</t>
    <phoneticPr fontId="6" type="noConversion"/>
  </si>
  <si>
    <t>多帧（最多100帧）</t>
    <phoneticPr fontId="6" type="noConversion"/>
  </si>
  <si>
    <t>FILITER</t>
    <phoneticPr fontId="6" type="noConversion"/>
  </si>
  <si>
    <t>16位列表、ID&lt;&lt;5</t>
    <phoneticPr fontId="6" type="noConversion"/>
  </si>
  <si>
    <t>16位屏蔽、自己的id | 功能码、MASK=0x7F0&lt;&lt;5|0x08|0x10</t>
    <phoneticPr fontId="6" type="noConversion"/>
  </si>
  <si>
    <t>16位屏蔽、功能码、MASK=0x00F</t>
    <phoneticPr fontId="6" type="noConversion"/>
  </si>
  <si>
    <t>FIFO</t>
    <phoneticPr fontId="6" type="noConversion"/>
  </si>
  <si>
    <t>FIFO_0</t>
    <phoneticPr fontId="6" type="noConversion"/>
  </si>
  <si>
    <t>FIFO_1</t>
    <phoneticPr fontId="6" type="noConversion"/>
  </si>
  <si>
    <t>0x01、0x02、0x03</t>
    <phoneticPr fontId="6" type="noConversion"/>
  </si>
  <si>
    <t>0x04、0x05</t>
    <phoneticPr fontId="6" type="noConversion"/>
  </si>
  <si>
    <t>帧数</t>
    <phoneticPr fontId="6" type="noConversion"/>
  </si>
  <si>
    <t>ID|0x10</t>
    <phoneticPr fontId="6" type="noConversion"/>
  </si>
  <si>
    <t>0x0E-首帧     0x0F-尾帧</t>
    <phoneticPr fontId="6" type="noConversion"/>
  </si>
  <si>
    <t>保存参数</t>
    <phoneticPr fontId="6" type="noConversion"/>
  </si>
  <si>
    <t>0x08</t>
    <phoneticPr fontId="6" type="noConversion"/>
  </si>
  <si>
    <t>0x04-首帧、0x05-尾帧</t>
    <phoneticPr fontId="6" type="noConversion"/>
  </si>
  <si>
    <t>0x0A-首帧、0x0B-续帧 、0x0C-尾帧</t>
    <phoneticPr fontId="6" type="noConversion"/>
  </si>
  <si>
    <t>通道（uint16）、T采样、p；        I 、d</t>
    <phoneticPr fontId="6" type="noConversion"/>
  </si>
  <si>
    <t>uint16</t>
    <phoneticPr fontId="6" type="noConversion"/>
  </si>
  <si>
    <t>风机1&amp;2、3&amp;4</t>
    <phoneticPr fontId="6" type="noConversion"/>
  </si>
  <si>
    <t>首帧：帧个数（uint16）+采样时间（uint16）、</t>
    <phoneticPr fontId="6" type="noConversion"/>
  </si>
  <si>
    <t>采样数=2n</t>
    <phoneticPr fontId="6" type="noConversion"/>
  </si>
  <si>
    <t>0x0A</t>
    <phoneticPr fontId="6" type="noConversion"/>
  </si>
  <si>
    <t>000 0000              (高7位)</t>
    <phoneticPr fontId="6" type="noConversion"/>
  </si>
  <si>
    <t>7F</t>
    <phoneticPr fontId="6" type="noConversion"/>
  </si>
  <si>
    <t>请求重发跟踪曲线</t>
    <phoneticPr fontId="6" type="noConversion"/>
  </si>
  <si>
    <t>跟踪曲线数据</t>
    <phoneticPr fontId="6" type="noConversion"/>
  </si>
  <si>
    <t>0x03</t>
    <phoneticPr fontId="6" type="noConversion"/>
  </si>
  <si>
    <t>0x06</t>
    <phoneticPr fontId="6" type="noConversion"/>
  </si>
  <si>
    <t>SET 目标值</t>
    <phoneticPr fontId="6" type="noConversion"/>
  </si>
  <si>
    <t>失/使能跟踪曲线</t>
    <phoneticPr fontId="6" type="noConversion"/>
  </si>
  <si>
    <t>0x02</t>
    <phoneticPr fontId="6" type="noConversion"/>
  </si>
  <si>
    <t>跟踪曲线相位（ms）</t>
    <phoneticPr fontId="6" type="noConversion"/>
  </si>
  <si>
    <t>\</t>
    <phoneticPr fontId="6" type="noConversion"/>
  </si>
  <si>
    <t>风机id</t>
    <phoneticPr fontId="6" type="noConversion"/>
  </si>
  <si>
    <t>000 007F</t>
    <phoneticPr fontId="6" type="noConversion"/>
  </si>
  <si>
    <t>DLC</t>
    <phoneticPr fontId="6" type="noConversion"/>
  </si>
  <si>
    <t>风机模块id</t>
    <phoneticPr fontId="6" type="noConversion"/>
  </si>
  <si>
    <t>0x01</t>
    <phoneticPr fontId="6" type="noConversion"/>
  </si>
  <si>
    <t>0复位/ 1停/2启</t>
    <phoneticPr fontId="6" type="noConversion"/>
  </si>
  <si>
    <t>0x0D</t>
    <phoneticPr fontId="6" type="noConversion"/>
  </si>
  <si>
    <t>本机状态</t>
    <phoneticPr fontId="6" type="noConversion"/>
  </si>
  <si>
    <t>3/4 = 失/使能pid</t>
    <phoneticPr fontId="6" type="noConversion"/>
  </si>
  <si>
    <t>5/6 = 失/使能跟踪曲线</t>
    <phoneticPr fontId="6" type="noConversion"/>
  </si>
  <si>
    <t>7 = 保存参数</t>
    <phoneticPr fontId="6" type="noConversion"/>
  </si>
  <si>
    <t>广播cmd</t>
    <phoneticPr fontId="6" type="noConversion"/>
  </si>
  <si>
    <t>cmd</t>
    <phoneticPr fontId="6" type="noConversion"/>
  </si>
  <si>
    <t>0x06-首帧、0x07-续帧 、0x08-尾帧</t>
    <phoneticPr fontId="6" type="noConversion"/>
  </si>
  <si>
    <t>0x0C</t>
    <phoneticPr fontId="6" type="noConversion"/>
  </si>
  <si>
    <t>转速数据</t>
    <phoneticPr fontId="6" type="noConversion"/>
  </si>
  <si>
    <t>低-&gt;高位 = pid检验和(float)，风机、pid、跟踪开关</t>
    <phoneticPr fontId="6" type="noConversion"/>
  </si>
  <si>
    <t>2，uint16</t>
    <phoneticPr fontId="6" type="noConversion"/>
  </si>
  <si>
    <r>
      <rPr>
        <sz val="11"/>
        <rFont val="微软雅黑"/>
        <family val="2"/>
        <charset val="134"/>
      </rPr>
      <t>首帧u16：</t>
    </r>
    <r>
      <rPr>
        <sz val="11"/>
        <color theme="3" tint="0.249977111117893"/>
        <rFont val="微软雅黑"/>
        <family val="2"/>
        <charset val="134"/>
      </rPr>
      <t xml:space="preserve">数据个数+采样时间+数据类型（点1|sin2|锯齿3）
</t>
    </r>
    <r>
      <rPr>
        <sz val="11"/>
        <rFont val="微软雅黑"/>
        <family val="2"/>
        <charset val="134"/>
      </rPr>
      <t>续帧：</t>
    </r>
    <r>
      <rPr>
        <sz val="11"/>
        <color theme="3" tint="0.249977111117893"/>
        <rFont val="微软雅黑"/>
        <family val="2"/>
        <charset val="134"/>
      </rPr>
      <t xml:space="preserve">函数：A+f
</t>
    </r>
    <r>
      <rPr>
        <sz val="11"/>
        <rFont val="微软雅黑"/>
        <family val="2"/>
        <charset val="134"/>
      </rPr>
      <t>尾帧：</t>
    </r>
    <r>
      <rPr>
        <sz val="11"/>
        <color theme="3" tint="0.249977111117893"/>
        <rFont val="微软雅黑"/>
        <family val="2"/>
        <charset val="134"/>
      </rPr>
      <t>dlc=0</t>
    </r>
    <phoneticPr fontId="6" type="noConversion"/>
  </si>
  <si>
    <t>0x02</t>
    <phoneticPr fontId="6" type="noConversion"/>
  </si>
  <si>
    <t>0x01、0x02</t>
    <phoneticPr fontId="6" type="noConversion"/>
  </si>
  <si>
    <t>0x03、0x04</t>
    <phoneticPr fontId="6" type="noConversion"/>
  </si>
  <si>
    <t>0x09</t>
    <phoneticPr fontId="6" type="noConversion"/>
  </si>
  <si>
    <t>0x0A、0x0B</t>
    <phoneticPr fontId="6" type="noConversion"/>
  </si>
  <si>
    <t>节点id（4个风机）</t>
    <phoneticPr fontId="6" type="noConversion"/>
  </si>
  <si>
    <t>|</t>
    <phoneticPr fontId="6" type="noConversion"/>
  </si>
  <si>
    <t>p</t>
    <phoneticPr fontId="6" type="noConversion"/>
  </si>
  <si>
    <t>i</t>
    <phoneticPr fontId="6" type="noConversion"/>
  </si>
  <si>
    <t>d</t>
    <phoneticPr fontId="6" type="noConversion"/>
  </si>
  <si>
    <t>open/close</t>
    <phoneticPr fontId="6" type="noConversion"/>
  </si>
  <si>
    <t>rpm</t>
    <phoneticPr fontId="6" type="noConversion"/>
  </si>
  <si>
    <t>m</t>
    <phoneticPr fontId="6" type="noConversion"/>
  </si>
  <si>
    <t>s</t>
    <phoneticPr fontId="6" type="noConversion"/>
  </si>
  <si>
    <t>data(HEX)</t>
    <phoneticPr fontId="6" type="noConversion"/>
  </si>
  <si>
    <t>txid</t>
    <phoneticPr fontId="6" type="noConversion"/>
  </si>
  <si>
    <t>rxid</t>
    <phoneticPr fontId="6" type="noConversion"/>
  </si>
  <si>
    <t>dlc</t>
    <phoneticPr fontId="6" type="noConversion"/>
  </si>
  <si>
    <t>系统模式</t>
    <phoneticPr fontId="6" type="noConversion"/>
  </si>
  <si>
    <t>同上 + 8=上传本机状态；9=停止上传、A=上传转速</t>
    <phoneticPr fontId="6" type="noConversion"/>
  </si>
  <si>
    <t>rpm1</t>
    <phoneticPr fontId="6" type="noConversion"/>
  </si>
  <si>
    <t>rpm2</t>
    <phoneticPr fontId="6" type="noConversion"/>
  </si>
  <si>
    <t>rpm3</t>
    <phoneticPr fontId="6" type="noConversion"/>
  </si>
  <si>
    <t>rpm4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</si>
</sst>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¥&quot;* #,##0.00_ ;_ &quot;¥&quot;* \-#,##0.00_ ;_ &quot;¥&quot;* &quot;-&quot;??_ ;_ @_ "/>
  </numFmts>
  <fonts count="12" x14ac:knownFonts="1"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11"/>
      <color rgb="FFFF000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theme="0"/>
      <name val="微软雅黑"/>
      <family val="2"/>
      <charset val="134"/>
    </font>
    <font>
      <sz val="9"/>
      <name val="微软雅黑"/>
      <family val="2"/>
      <charset val="134"/>
    </font>
    <font>
      <sz val="11"/>
      <color theme="3" tint="0.249977111117893"/>
      <name val="微软雅黑"/>
      <family val="2"/>
      <charset val="134"/>
    </font>
    <font>
      <sz val="11"/>
      <color rgb="FF7030A0"/>
      <name val="微软雅黑"/>
      <family val="2"/>
      <charset val="134"/>
    </font>
    <font>
      <sz val="11"/>
      <name val="微软雅黑"/>
      <family val="2"/>
      <charset val="134"/>
    </font>
    <font>
      <i/>
      <sz val="11"/>
      <color theme="1"/>
      <name val="微软雅黑"/>
      <family val="2"/>
      <charset val="134"/>
    </font>
    <font>
      <i/>
      <sz val="6"/>
      <color theme="1"/>
      <name val="微软雅黑"/>
      <family val="2"/>
      <charset val="134"/>
    </font>
  </fonts>
  <fills count="1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4" fontId="1" fillId="0" borderId="0" applyFont="0" applyFill="0" applyBorder="0" applyAlignment="0" applyProtection="0">
      <alignment vertical="center"/>
    </xf>
  </cellStyleXfs>
  <cellXfs count="15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1" applyNumberFormat="1" applyFont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5" fillId="12" borderId="19" xfId="0" applyFont="1" applyFill="1" applyBorder="1" applyAlignment="1">
      <alignment horizontal="center" vertical="center"/>
    </xf>
    <xf numFmtId="49" fontId="0" fillId="0" borderId="0" xfId="1" applyNumberFormat="1" applyFont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2" fillId="10" borderId="11" xfId="0" applyFont="1" applyFill="1" applyBorder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2" xfId="0" applyFont="1" applyBorder="1" applyAlignment="1">
      <alignment horizontal="center" vertical="center" wrapText="1"/>
    </xf>
    <xf numFmtId="0" fontId="5" fillId="12" borderId="0" xfId="0" applyFont="1" applyFill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5" fillId="12" borderId="21" xfId="0" applyFont="1" applyFill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/>
    </xf>
    <xf numFmtId="0" fontId="5" fillId="12" borderId="5" xfId="0" applyFont="1" applyFill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4" fillId="3" borderId="41" xfId="0" applyFont="1" applyFill="1" applyBorder="1" applyAlignment="1">
      <alignment horizontal="center" vertical="center"/>
    </xf>
    <xf numFmtId="0" fontId="4" fillId="5" borderId="32" xfId="0" applyFont="1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5" fillId="7" borderId="16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/>
    </xf>
    <xf numFmtId="0" fontId="0" fillId="6" borderId="30" xfId="0" applyFill="1" applyBorder="1" applyAlignment="1">
      <alignment horizontal="center" vertical="center"/>
    </xf>
    <xf numFmtId="0" fontId="0" fillId="14" borderId="10" xfId="0" applyFill="1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9" xfId="0" applyBorder="1">
      <alignment vertical="center"/>
    </xf>
    <xf numFmtId="0" fontId="7" fillId="0" borderId="24" xfId="0" applyFont="1" applyBorder="1" applyAlignment="1">
      <alignment horizontal="center" vertical="center" wrapText="1"/>
    </xf>
    <xf numFmtId="49" fontId="0" fillId="0" borderId="41" xfId="1" applyNumberFormat="1" applyFont="1" applyBorder="1" applyAlignment="1">
      <alignment vertical="center"/>
    </xf>
    <xf numFmtId="49" fontId="0" fillId="0" borderId="9" xfId="1" applyNumberFormat="1" applyFont="1" applyBorder="1" applyAlignment="1">
      <alignment vertical="center"/>
    </xf>
    <xf numFmtId="49" fontId="1" fillId="4" borderId="20" xfId="1" applyNumberFormat="1" applyFont="1" applyFill="1" applyBorder="1" applyAlignment="1">
      <alignment horizontal="center" vertical="center"/>
    </xf>
    <xf numFmtId="49" fontId="1" fillId="4" borderId="21" xfId="1" applyNumberFormat="1" applyFont="1" applyFill="1" applyBorder="1" applyAlignment="1">
      <alignment horizontal="center" vertical="center"/>
    </xf>
    <xf numFmtId="49" fontId="0" fillId="4" borderId="24" xfId="1" applyNumberFormat="1" applyFont="1" applyFill="1" applyBorder="1" applyAlignment="1">
      <alignment horizontal="center" vertical="center"/>
    </xf>
    <xf numFmtId="0" fontId="0" fillId="4" borderId="39" xfId="0" applyFill="1" applyBorder="1" applyAlignment="1">
      <alignment horizontal="center" vertical="center" wrapText="1"/>
    </xf>
    <xf numFmtId="49" fontId="0" fillId="5" borderId="40" xfId="1" applyNumberFormat="1" applyFont="1" applyFill="1" applyBorder="1" applyAlignment="1">
      <alignment horizontal="center" vertical="center"/>
    </xf>
    <xf numFmtId="49" fontId="0" fillId="5" borderId="24" xfId="1" applyNumberFormat="1" applyFont="1" applyFill="1" applyBorder="1" applyAlignment="1">
      <alignment horizontal="center" vertical="center"/>
    </xf>
    <xf numFmtId="49" fontId="0" fillId="5" borderId="22" xfId="1" applyNumberFormat="1" applyFont="1" applyFill="1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49" fontId="0" fillId="0" borderId="31" xfId="1" applyNumberFormat="1" applyFont="1" applyBorder="1" applyAlignment="1">
      <alignment horizontal="center" vertical="center"/>
    </xf>
    <xf numFmtId="49" fontId="0" fillId="0" borderId="9" xfId="1" applyNumberFormat="1" applyFont="1" applyBorder="1" applyAlignment="1">
      <alignment horizontal="center" vertical="center"/>
    </xf>
    <xf numFmtId="49" fontId="0" fillId="0" borderId="41" xfId="1" applyNumberFormat="1" applyFont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5" fillId="7" borderId="22" xfId="0" applyFont="1" applyFill="1" applyBorder="1" applyAlignment="1">
      <alignment horizontal="center" vertical="center" wrapText="1"/>
    </xf>
    <xf numFmtId="0" fontId="5" fillId="12" borderId="18" xfId="0" applyFont="1" applyFill="1" applyBorder="1" applyAlignment="1">
      <alignment horizontal="center" vertical="center"/>
    </xf>
    <xf numFmtId="0" fontId="4" fillId="16" borderId="47" xfId="0" applyFont="1" applyFill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49" fontId="0" fillId="4" borderId="48" xfId="1" applyNumberFormat="1" applyFont="1" applyFill="1" applyBorder="1" applyAlignment="1">
      <alignment horizontal="center" vertical="center"/>
    </xf>
    <xf numFmtId="49" fontId="0" fillId="5" borderId="48" xfId="1" applyNumberFormat="1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49" fontId="0" fillId="0" borderId="30" xfId="1" applyNumberFormat="1" applyFont="1" applyBorder="1" applyAlignment="1">
      <alignment horizontal="center" vertical="center"/>
    </xf>
    <xf numFmtId="49" fontId="0" fillId="0" borderId="22" xfId="1" applyNumberFormat="1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5" borderId="41" xfId="0" applyFill="1" applyBorder="1" applyAlignment="1">
      <alignment horizontal="center" vertical="center"/>
    </xf>
    <xf numFmtId="0" fontId="0" fillId="0" borderId="30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49" fontId="1" fillId="4" borderId="40" xfId="1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0" borderId="2" xfId="0" applyFont="1" applyBorder="1">
      <alignment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4" fillId="5" borderId="49" xfId="0" applyFont="1" applyFill="1" applyBorder="1" applyAlignment="1">
      <alignment horizontal="center" vertical="center"/>
    </xf>
    <xf numFmtId="0" fontId="4" fillId="5" borderId="43" xfId="0" applyFont="1" applyFill="1" applyBorder="1" applyAlignment="1">
      <alignment horizontal="center" vertical="center"/>
    </xf>
    <xf numFmtId="0" fontId="4" fillId="5" borderId="44" xfId="0" applyFont="1" applyFill="1" applyBorder="1" applyAlignment="1">
      <alignment horizontal="center" vertical="center"/>
    </xf>
    <xf numFmtId="0" fontId="5" fillId="13" borderId="8" xfId="0" applyFont="1" applyFill="1" applyBorder="1" applyAlignment="1">
      <alignment horizontal="center" vertical="center"/>
    </xf>
    <xf numFmtId="0" fontId="5" fillId="13" borderId="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6" borderId="24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49" fontId="2" fillId="8" borderId="1" xfId="1" applyNumberFormat="1" applyFont="1" applyFill="1" applyBorder="1" applyAlignment="1">
      <alignment horizontal="center" vertical="center"/>
    </xf>
    <xf numFmtId="49" fontId="2" fillId="8" borderId="2" xfId="1" applyNumberFormat="1" applyFont="1" applyFill="1" applyBorder="1" applyAlignment="1">
      <alignment horizontal="center" vertical="center"/>
    </xf>
    <xf numFmtId="49" fontId="2" fillId="8" borderId="3" xfId="1" applyNumberFormat="1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4" fillId="5" borderId="42" xfId="0" applyFont="1" applyFill="1" applyBorder="1" applyAlignment="1">
      <alignment horizontal="center" vertical="center" wrapText="1"/>
    </xf>
    <xf numFmtId="0" fontId="4" fillId="5" borderId="43" xfId="0" applyFont="1" applyFill="1" applyBorder="1" applyAlignment="1">
      <alignment horizontal="center" vertical="center" wrapText="1"/>
    </xf>
    <xf numFmtId="0" fontId="4" fillId="5" borderId="44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39" xfId="0" applyFont="1" applyFill="1" applyBorder="1" applyAlignment="1">
      <alignment horizontal="center" vertical="center"/>
    </xf>
    <xf numFmtId="49" fontId="0" fillId="0" borderId="14" xfId="1" applyNumberFormat="1" applyFont="1" applyBorder="1" applyAlignment="1">
      <alignment horizontal="center" vertical="center" wrapText="1"/>
    </xf>
    <xf numFmtId="49" fontId="0" fillId="0" borderId="2" xfId="1" applyNumberFormat="1" applyFont="1" applyBorder="1" applyAlignment="1">
      <alignment horizontal="center" vertical="center" wrapText="1"/>
    </xf>
    <xf numFmtId="49" fontId="0" fillId="0" borderId="15" xfId="1" applyNumberFormat="1" applyFont="1" applyBorder="1" applyAlignment="1">
      <alignment horizontal="center" vertical="center" wrapText="1"/>
    </xf>
    <xf numFmtId="49" fontId="0" fillId="0" borderId="0" xfId="1" applyNumberFormat="1" applyFont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49" fontId="0" fillId="0" borderId="34" xfId="1" applyNumberFormat="1" applyFont="1" applyBorder="1" applyAlignment="1">
      <alignment horizontal="center" vertical="center" wrapText="1"/>
    </xf>
    <xf numFmtId="49" fontId="0" fillId="0" borderId="35" xfId="1" applyNumberFormat="1" applyFont="1" applyBorder="1" applyAlignment="1">
      <alignment horizontal="center" vertical="center" wrapText="1"/>
    </xf>
    <xf numFmtId="49" fontId="0" fillId="0" borderId="16" xfId="1" applyNumberFormat="1" applyFont="1" applyBorder="1" applyAlignment="1">
      <alignment horizontal="center" vertical="center" wrapText="1"/>
    </xf>
    <xf numFmtId="49" fontId="0" fillId="0" borderId="6" xfId="1" applyNumberFormat="1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49" fontId="1" fillId="4" borderId="21" xfId="1" applyNumberFormat="1" applyFont="1" applyFill="1" applyBorder="1" applyAlignment="1">
      <alignment horizontal="center" vertical="center"/>
    </xf>
    <xf numFmtId="49" fontId="1" fillId="4" borderId="26" xfId="1" applyNumberFormat="1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15" borderId="8" xfId="0" applyFill="1" applyBorder="1" applyAlignment="1">
      <alignment horizontal="center" vertical="center"/>
    </xf>
    <xf numFmtId="0" fontId="0" fillId="15" borderId="9" xfId="0" applyFill="1" applyBorder="1" applyAlignment="1">
      <alignment horizontal="center" vertical="center"/>
    </xf>
    <xf numFmtId="0" fontId="0" fillId="15" borderId="10" xfId="0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</cellXfs>
  <cellStyles count="2">
    <cellStyle name="常规" xfId="0" builtinId="0"/>
    <cellStyle name="货币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102028</xdr:colOff>
      <xdr:row>17</xdr:row>
      <xdr:rowOff>122593</xdr:rowOff>
    </xdr:from>
    <xdr:ext cx="3046027" cy="837793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EBED3976-D553-9BA7-BD2B-66FFE1701932}"/>
            </a:ext>
          </a:extLst>
        </xdr:cNvPr>
        <xdr:cNvSpPr txBox="1"/>
      </xdr:nvSpPr>
      <xdr:spPr>
        <a:xfrm>
          <a:off x="17011261" y="4649326"/>
          <a:ext cx="3046027" cy="83779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备注：</a:t>
          </a:r>
          <a:endParaRPr lang="en-US" altLang="zh-CN" sz="11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数据类型默认为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float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32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位），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帧两个数据</a:t>
          </a:r>
          <a:r>
            <a:rPr lang="zh-CN" altLang="en-US"/>
            <a:t> </a:t>
          </a:r>
          <a:endParaRPr lang="en-US" altLang="zh-CN"/>
        </a:p>
        <a:p>
          <a:r>
            <a:rPr lang="en-US" altLang="zh-CN"/>
            <a:t>2.FIFO_0</a:t>
          </a:r>
          <a:r>
            <a:rPr lang="zh-CN" altLang="en-US"/>
            <a:t>轮询，</a:t>
          </a:r>
          <a:r>
            <a:rPr lang="en-US" altLang="zh-CN"/>
            <a:t>FIFO_1</a:t>
          </a:r>
          <a:r>
            <a:rPr lang="zh-CN" altLang="en-US"/>
            <a:t>进中断（优先级</a:t>
          </a:r>
          <a:r>
            <a:rPr lang="en-US" altLang="zh-CN"/>
            <a:t>0</a:t>
          </a:r>
          <a:r>
            <a:rPr lang="zh-CN" altLang="en-US"/>
            <a:t>，</a:t>
          </a:r>
          <a:r>
            <a:rPr lang="en-US" altLang="zh-CN"/>
            <a:t>0</a:t>
          </a:r>
          <a:r>
            <a:rPr lang="zh-CN" altLang="en-US"/>
            <a:t>）</a:t>
          </a:r>
          <a:endParaRPr lang="en-US" altLang="zh-CN"/>
        </a:p>
        <a:p>
          <a:endParaRPr lang="zh-CN" altLang="en-US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h ." id="{C53B3D0C-41A5-4772-BD6A-75C33DE0B9F3}" userId="ee0ab4f62dbe73ae" providerId="Windows Live"/>
</personList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2" dT="2026-10-11T16:21:09.51" personId="{C53B3D0C-41A5-4772-BD6A-75C33DE0B9F3}" id="{884D21C7-659A-4E91-B8F0-6D588451F1B6}">
    <text>暂时只用一帧，4个数据一起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0C86E-B8D5-4F55-A52E-43C4564E8A86}">
  <dimension ref="D1:P44"/>
  <sheetViews>
    <sheetView topLeftCell="B1" zoomScale="115" zoomScaleNormal="115" workbookViewId="0">
      <selection activeCell="K5" sqref="K5"/>
    </sheetView>
  </sheetViews>
  <sheetFormatPr defaultColWidth="9.21875" defaultRowHeight="16.5" x14ac:dyDescent="0.3"/>
  <cols>
    <col min="1" max="3" width="9.21875" style="1"/>
    <col min="4" max="4" width="5.21875" style="1" customWidth="1"/>
    <col min="5" max="5" width="4.21875" style="1" customWidth="1"/>
    <col min="6" max="6" width="6.109375" style="1" customWidth="1"/>
    <col min="7" max="7" width="17" style="1" customWidth="1"/>
    <col min="8" max="8" width="11" style="2" customWidth="1"/>
    <col min="9" max="9" width="0.109375" style="2" hidden="1" customWidth="1"/>
    <col min="10" max="10" width="18.5546875" style="1" customWidth="1"/>
    <col min="11" max="11" width="25.44140625" style="1" customWidth="1"/>
    <col min="12" max="12" width="10.33203125" style="1" customWidth="1"/>
    <col min="13" max="13" width="25.88671875" style="1" customWidth="1"/>
    <col min="14" max="14" width="6.88671875" style="1" customWidth="1"/>
    <col min="15" max="15" width="7.33203125" style="1" customWidth="1"/>
    <col min="16" max="16384" width="9.21875" style="1"/>
  </cols>
  <sheetData>
    <row r="1" spans="4:16" x14ac:dyDescent="0.3">
      <c r="M1"/>
      <c r="N1"/>
    </row>
    <row r="2" spans="4:16" ht="17.25" thickBot="1" x14ac:dyDescent="0.35"/>
    <row r="3" spans="4:16" ht="17.25" thickBot="1" x14ac:dyDescent="0.35">
      <c r="F3" s="55" t="s">
        <v>55</v>
      </c>
      <c r="G3" s="10" t="s">
        <v>10</v>
      </c>
      <c r="H3" s="96" t="s">
        <v>3</v>
      </c>
      <c r="I3" s="97"/>
      <c r="J3" s="98"/>
      <c r="K3" s="11" t="s">
        <v>2</v>
      </c>
      <c r="L3" s="12" t="s">
        <v>29</v>
      </c>
      <c r="M3" s="90" t="s">
        <v>20</v>
      </c>
      <c r="N3" s="91"/>
      <c r="O3" s="32" t="s">
        <v>24</v>
      </c>
    </row>
    <row r="4" spans="4:16" x14ac:dyDescent="0.3">
      <c r="D4" s="78" t="s">
        <v>8</v>
      </c>
      <c r="E4" s="106" t="s">
        <v>4</v>
      </c>
      <c r="F4" s="115">
        <v>2</v>
      </c>
      <c r="G4" s="81" t="s">
        <v>64</v>
      </c>
      <c r="H4" s="111" t="s">
        <v>42</v>
      </c>
      <c r="I4" s="112"/>
      <c r="J4" s="68" t="s">
        <v>57</v>
      </c>
      <c r="K4" s="56" t="s">
        <v>58</v>
      </c>
      <c r="L4" s="127" t="s">
        <v>37</v>
      </c>
      <c r="M4" s="84" t="s">
        <v>21</v>
      </c>
      <c r="N4" s="130"/>
      <c r="O4" s="135" t="s">
        <v>25</v>
      </c>
    </row>
    <row r="5" spans="4:16" x14ac:dyDescent="0.3">
      <c r="D5" s="79"/>
      <c r="E5" s="107"/>
      <c r="F5" s="116"/>
      <c r="G5" s="82"/>
      <c r="H5" s="113"/>
      <c r="I5" s="114"/>
      <c r="J5" s="133" t="s">
        <v>72</v>
      </c>
      <c r="K5" s="47" t="s">
        <v>61</v>
      </c>
      <c r="L5" s="128"/>
      <c r="M5" s="85"/>
      <c r="N5" s="131"/>
      <c r="O5" s="118"/>
    </row>
    <row r="6" spans="4:16" x14ac:dyDescent="0.3">
      <c r="D6" s="79"/>
      <c r="E6" s="107"/>
      <c r="F6" s="116"/>
      <c r="G6" s="82"/>
      <c r="H6" s="113"/>
      <c r="I6" s="114"/>
      <c r="J6" s="133"/>
      <c r="K6" s="47" t="s">
        <v>62</v>
      </c>
      <c r="L6" s="128"/>
      <c r="M6" s="85"/>
      <c r="N6" s="131"/>
      <c r="O6" s="118"/>
    </row>
    <row r="7" spans="4:16" x14ac:dyDescent="0.3">
      <c r="D7" s="79"/>
      <c r="E7" s="107"/>
      <c r="F7" s="117"/>
      <c r="G7" s="83"/>
      <c r="H7" s="113"/>
      <c r="I7" s="114"/>
      <c r="J7" s="134"/>
      <c r="K7" s="48" t="s">
        <v>63</v>
      </c>
      <c r="L7" s="129"/>
      <c r="M7" s="85"/>
      <c r="N7" s="132"/>
      <c r="O7" s="118"/>
    </row>
    <row r="8" spans="4:16" ht="47.1" customHeight="1" x14ac:dyDescent="0.3">
      <c r="D8" s="79"/>
      <c r="E8" s="107"/>
      <c r="F8" s="108">
        <v>8</v>
      </c>
      <c r="G8" s="5" t="s">
        <v>6</v>
      </c>
      <c r="H8" s="113"/>
      <c r="I8" s="114"/>
      <c r="J8" s="57" t="s">
        <v>75</v>
      </c>
      <c r="K8" s="35" t="s">
        <v>36</v>
      </c>
      <c r="L8" s="28">
        <v>2</v>
      </c>
      <c r="M8" s="85"/>
      <c r="N8" s="33"/>
      <c r="O8" s="118" t="s">
        <v>26</v>
      </c>
    </row>
    <row r="9" spans="4:16" ht="82.5" customHeight="1" thickBot="1" x14ac:dyDescent="0.35">
      <c r="D9" s="79"/>
      <c r="E9" s="107"/>
      <c r="F9" s="109"/>
      <c r="G9" s="6" t="s">
        <v>45</v>
      </c>
      <c r="H9" s="113"/>
      <c r="I9" s="114"/>
      <c r="J9" s="41" t="s">
        <v>66</v>
      </c>
      <c r="K9" s="16" t="s">
        <v>71</v>
      </c>
      <c r="L9" s="29" t="s">
        <v>19</v>
      </c>
      <c r="M9" s="86"/>
      <c r="N9" s="34"/>
      <c r="O9" s="136"/>
      <c r="P9" s="1" t="s">
        <v>40</v>
      </c>
    </row>
    <row r="10" spans="4:16" ht="3" hidden="1" customHeight="1" thickBot="1" x14ac:dyDescent="0.35">
      <c r="D10" s="79"/>
      <c r="E10" s="107"/>
      <c r="F10" s="110"/>
      <c r="G10" s="19" t="s">
        <v>17</v>
      </c>
      <c r="H10" s="113"/>
      <c r="I10" s="114"/>
      <c r="J10" s="8" t="s">
        <v>15</v>
      </c>
      <c r="K10" s="17" t="s">
        <v>16</v>
      </c>
      <c r="L10" s="22" t="s">
        <v>18</v>
      </c>
      <c r="O10" s="15"/>
    </row>
    <row r="11" spans="4:16" ht="33" customHeight="1" thickTop="1" x14ac:dyDescent="0.3">
      <c r="D11" s="79"/>
      <c r="E11" s="103" t="s">
        <v>5</v>
      </c>
      <c r="F11" s="21">
        <v>2</v>
      </c>
      <c r="G11" s="20" t="s">
        <v>65</v>
      </c>
      <c r="H11" s="120" t="s">
        <v>77</v>
      </c>
      <c r="I11" s="121"/>
      <c r="J11" s="42" t="s">
        <v>73</v>
      </c>
      <c r="K11" s="67" t="s">
        <v>91</v>
      </c>
      <c r="L11" s="30"/>
      <c r="M11" s="124" t="s">
        <v>22</v>
      </c>
      <c r="N11" s="23" t="s">
        <v>30</v>
      </c>
      <c r="O11" s="118" t="s">
        <v>25</v>
      </c>
    </row>
    <row r="12" spans="4:16" x14ac:dyDescent="0.3">
      <c r="D12" s="79"/>
      <c r="E12" s="104"/>
      <c r="F12" s="99">
        <v>8</v>
      </c>
      <c r="G12" s="5" t="s">
        <v>48</v>
      </c>
      <c r="H12" s="113"/>
      <c r="I12" s="114"/>
      <c r="J12" s="58" t="s">
        <v>74</v>
      </c>
      <c r="K12" s="101" t="s">
        <v>38</v>
      </c>
      <c r="L12" s="94" t="s">
        <v>70</v>
      </c>
      <c r="M12" s="125"/>
      <c r="N12" s="92"/>
      <c r="O12" s="118"/>
    </row>
    <row r="13" spans="4:16" ht="17.25" thickBot="1" x14ac:dyDescent="0.35">
      <c r="D13" s="80"/>
      <c r="E13" s="105"/>
      <c r="F13" s="100"/>
      <c r="G13" s="6" t="s">
        <v>51</v>
      </c>
      <c r="H13" s="122"/>
      <c r="I13" s="123"/>
      <c r="J13" s="44" t="s">
        <v>76</v>
      </c>
      <c r="K13" s="102"/>
      <c r="L13" s="95"/>
      <c r="M13" s="126"/>
      <c r="N13" s="93"/>
      <c r="O13" s="119"/>
    </row>
    <row r="14" spans="4:16" x14ac:dyDescent="0.3">
      <c r="D14"/>
      <c r="E14"/>
      <c r="F14"/>
      <c r="G14"/>
      <c r="H14"/>
      <c r="I14"/>
      <c r="J14"/>
      <c r="K14"/>
      <c r="L14"/>
    </row>
    <row r="15" spans="4:16" ht="17.25" thickBot="1" x14ac:dyDescent="0.35">
      <c r="D15"/>
      <c r="E15"/>
      <c r="F15"/>
      <c r="G15"/>
      <c r="H15"/>
      <c r="I15"/>
      <c r="J15"/>
      <c r="K15"/>
      <c r="L15"/>
    </row>
    <row r="16" spans="4:16" ht="32.450000000000003" customHeight="1" thickBot="1" x14ac:dyDescent="0.35">
      <c r="D16" s="78" t="s">
        <v>9</v>
      </c>
      <c r="E16" s="87"/>
      <c r="F16" s="59">
        <v>8</v>
      </c>
      <c r="G16" s="61" t="s">
        <v>68</v>
      </c>
      <c r="H16" s="62" t="s">
        <v>56</v>
      </c>
      <c r="I16" s="37"/>
      <c r="J16" s="45" t="s">
        <v>31</v>
      </c>
      <c r="K16" s="27" t="s">
        <v>11</v>
      </c>
      <c r="L16" s="31">
        <v>2</v>
      </c>
      <c r="M16" s="13" t="s">
        <v>23</v>
      </c>
      <c r="N16" s="14"/>
    </row>
    <row r="17" spans="4:14" ht="51" customHeight="1" thickBot="1" x14ac:dyDescent="0.35">
      <c r="D17" s="79"/>
      <c r="E17" s="88"/>
      <c r="F17" s="60">
        <v>8</v>
      </c>
      <c r="G17" s="4" t="s">
        <v>60</v>
      </c>
      <c r="H17" s="63" t="s">
        <v>43</v>
      </c>
      <c r="I17" s="9"/>
      <c r="J17" s="65" t="s">
        <v>67</v>
      </c>
      <c r="K17" s="66" t="s">
        <v>69</v>
      </c>
      <c r="L17" s="64"/>
      <c r="N17" s="14"/>
    </row>
    <row r="18" spans="4:14" ht="17.25" thickBot="1" x14ac:dyDescent="0.35">
      <c r="D18" s="80"/>
      <c r="E18" s="89"/>
      <c r="F18" s="60">
        <v>0</v>
      </c>
      <c r="G18" s="61" t="s">
        <v>44</v>
      </c>
      <c r="H18" s="50" t="s">
        <v>43</v>
      </c>
      <c r="I18" s="36"/>
      <c r="J18" s="26" t="s">
        <v>59</v>
      </c>
      <c r="K18" s="27"/>
      <c r="L18" s="64"/>
      <c r="M18" s="13"/>
      <c r="N18" s="14"/>
    </row>
    <row r="23" spans="4:14" x14ac:dyDescent="0.3">
      <c r="H23" s="9"/>
      <c r="I23" s="9"/>
    </row>
    <row r="24" spans="4:14" x14ac:dyDescent="0.3">
      <c r="H24" s="9"/>
      <c r="I24" s="9"/>
    </row>
    <row r="25" spans="4:14" x14ac:dyDescent="0.3">
      <c r="H25" s="9"/>
      <c r="I25" s="9"/>
    </row>
    <row r="26" spans="4:14" x14ac:dyDescent="0.3">
      <c r="H26" s="9"/>
      <c r="I26" s="9"/>
    </row>
    <row r="27" spans="4:14" x14ac:dyDescent="0.3">
      <c r="H27" s="9"/>
      <c r="I27" s="9"/>
    </row>
    <row r="28" spans="4:14" x14ac:dyDescent="0.3">
      <c r="H28" s="9"/>
      <c r="I28" s="9"/>
    </row>
    <row r="29" spans="4:14" ht="17.25" thickBot="1" x14ac:dyDescent="0.35"/>
    <row r="30" spans="4:14" ht="17.25" thickBot="1" x14ac:dyDescent="0.35">
      <c r="D30" s="137"/>
      <c r="E30" s="138"/>
      <c r="F30" s="139"/>
      <c r="G30" s="10" t="s">
        <v>10</v>
      </c>
      <c r="H30" s="96" t="s">
        <v>3</v>
      </c>
      <c r="I30" s="97"/>
      <c r="J30" s="98"/>
      <c r="K30" s="11" t="s">
        <v>2</v>
      </c>
      <c r="L30" s="12" t="s">
        <v>29</v>
      </c>
    </row>
    <row r="31" spans="4:14" x14ac:dyDescent="0.3">
      <c r="D31" s="78" t="s">
        <v>8</v>
      </c>
      <c r="E31" s="106" t="s">
        <v>4</v>
      </c>
      <c r="F31" s="142" t="s">
        <v>0</v>
      </c>
      <c r="G31" s="3" t="s">
        <v>12</v>
      </c>
      <c r="H31" s="111" t="s">
        <v>42</v>
      </c>
      <c r="I31" s="112"/>
      <c r="J31" s="38" t="s">
        <v>27</v>
      </c>
      <c r="K31" s="127" t="s">
        <v>52</v>
      </c>
      <c r="L31" s="127">
        <v>1</v>
      </c>
    </row>
    <row r="32" spans="4:14" x14ac:dyDescent="0.3">
      <c r="D32" s="79"/>
      <c r="E32" s="107"/>
      <c r="F32" s="143"/>
      <c r="G32" s="4" t="s">
        <v>13</v>
      </c>
      <c r="H32" s="113"/>
      <c r="I32" s="114"/>
      <c r="J32" s="39" t="s">
        <v>28</v>
      </c>
      <c r="K32" s="128"/>
      <c r="L32" s="128"/>
    </row>
    <row r="33" spans="4:12" x14ac:dyDescent="0.3">
      <c r="D33" s="79"/>
      <c r="E33" s="107"/>
      <c r="F33" s="143"/>
      <c r="G33" s="4" t="s">
        <v>49</v>
      </c>
      <c r="H33" s="113"/>
      <c r="I33" s="114"/>
      <c r="J33" s="39" t="s">
        <v>47</v>
      </c>
      <c r="K33" s="128"/>
      <c r="L33" s="128"/>
    </row>
    <row r="34" spans="4:12" x14ac:dyDescent="0.3">
      <c r="D34" s="79"/>
      <c r="E34" s="107"/>
      <c r="F34" s="144"/>
      <c r="G34" s="4" t="s">
        <v>32</v>
      </c>
      <c r="H34" s="113"/>
      <c r="I34" s="114"/>
      <c r="J34" s="39" t="s">
        <v>33</v>
      </c>
      <c r="K34" s="129"/>
      <c r="L34" s="129"/>
    </row>
    <row r="35" spans="4:12" ht="33" x14ac:dyDescent="0.3">
      <c r="D35" s="79"/>
      <c r="E35" s="107"/>
      <c r="F35" s="108" t="s">
        <v>1</v>
      </c>
      <c r="G35" s="5" t="s">
        <v>6</v>
      </c>
      <c r="H35" s="113"/>
      <c r="I35" s="114"/>
      <c r="J35" s="40" t="s">
        <v>34</v>
      </c>
      <c r="K35" s="35" t="s">
        <v>36</v>
      </c>
      <c r="L35" s="52">
        <v>2</v>
      </c>
    </row>
    <row r="36" spans="4:12" ht="31.35" customHeight="1" thickBot="1" x14ac:dyDescent="0.35">
      <c r="D36" s="79"/>
      <c r="E36" s="107"/>
      <c r="F36" s="109"/>
      <c r="G36" s="6" t="s">
        <v>45</v>
      </c>
      <c r="H36" s="113"/>
      <c r="I36" s="114"/>
      <c r="J36" s="41" t="s">
        <v>35</v>
      </c>
      <c r="K36" s="16" t="s">
        <v>39</v>
      </c>
      <c r="L36" s="53" t="s">
        <v>19</v>
      </c>
    </row>
    <row r="37" spans="4:12" ht="0.95" hidden="1" customHeight="1" thickBot="1" x14ac:dyDescent="0.35">
      <c r="D37" s="79"/>
      <c r="E37" s="107"/>
      <c r="F37" s="110"/>
      <c r="G37" s="19" t="s">
        <v>17</v>
      </c>
      <c r="H37" s="113"/>
      <c r="I37" s="114"/>
      <c r="J37" s="8" t="s">
        <v>15</v>
      </c>
      <c r="K37" s="17" t="s">
        <v>16</v>
      </c>
      <c r="L37" s="54" t="s">
        <v>18</v>
      </c>
    </row>
    <row r="38" spans="4:12" ht="17.25" thickTop="1" x14ac:dyDescent="0.3">
      <c r="D38" s="79"/>
      <c r="E38" s="103" t="s">
        <v>5</v>
      </c>
      <c r="F38" s="21" t="s">
        <v>0</v>
      </c>
      <c r="G38" s="20" t="s">
        <v>14</v>
      </c>
      <c r="H38" s="120" t="s">
        <v>53</v>
      </c>
      <c r="I38" s="121"/>
      <c r="J38" s="42" t="s">
        <v>50</v>
      </c>
      <c r="K38" s="18" t="s">
        <v>52</v>
      </c>
      <c r="L38" s="18">
        <v>1</v>
      </c>
    </row>
    <row r="39" spans="4:12" x14ac:dyDescent="0.3">
      <c r="D39" s="79"/>
      <c r="E39" s="104"/>
      <c r="F39" s="99" t="s">
        <v>1</v>
      </c>
      <c r="G39" s="5" t="s">
        <v>48</v>
      </c>
      <c r="H39" s="113"/>
      <c r="I39" s="114"/>
      <c r="J39" s="43" t="s">
        <v>46</v>
      </c>
      <c r="K39" s="101" t="s">
        <v>38</v>
      </c>
      <c r="L39" s="140">
        <v>2</v>
      </c>
    </row>
    <row r="40" spans="4:12" ht="17.25" thickBot="1" x14ac:dyDescent="0.35">
      <c r="D40" s="80"/>
      <c r="E40" s="105"/>
      <c r="F40" s="100"/>
      <c r="G40" s="6" t="s">
        <v>51</v>
      </c>
      <c r="H40" s="122"/>
      <c r="I40" s="123"/>
      <c r="J40" s="44" t="s">
        <v>47</v>
      </c>
      <c r="K40" s="102"/>
      <c r="L40" s="141"/>
    </row>
    <row r="41" spans="4:12" x14ac:dyDescent="0.3">
      <c r="D41" s="92"/>
      <c r="E41" s="92"/>
      <c r="F41" s="92"/>
      <c r="G41" s="92"/>
      <c r="H41" s="92"/>
      <c r="I41" s="92"/>
      <c r="J41" s="92"/>
      <c r="K41" s="92"/>
      <c r="L41" s="92"/>
    </row>
    <row r="42" spans="4:12" ht="17.25" thickBot="1" x14ac:dyDescent="0.35">
      <c r="D42" s="92"/>
      <c r="E42" s="92"/>
      <c r="F42" s="92"/>
      <c r="G42" s="92"/>
      <c r="H42" s="92"/>
      <c r="I42" s="92"/>
      <c r="J42" s="92"/>
      <c r="K42" s="92"/>
      <c r="L42" s="92"/>
    </row>
    <row r="43" spans="4:12" ht="17.25" thickBot="1" x14ac:dyDescent="0.35">
      <c r="D43" s="78" t="s">
        <v>9</v>
      </c>
      <c r="E43" s="25"/>
      <c r="F43" s="24" t="s">
        <v>1</v>
      </c>
      <c r="G43" s="7" t="s">
        <v>7</v>
      </c>
      <c r="H43" s="49" t="s">
        <v>53</v>
      </c>
      <c r="I43" s="50"/>
      <c r="J43" s="45" t="s">
        <v>31</v>
      </c>
      <c r="K43" s="27" t="s">
        <v>11</v>
      </c>
      <c r="L43" s="31">
        <v>2</v>
      </c>
    </row>
    <row r="44" spans="4:12" ht="17.25" thickBot="1" x14ac:dyDescent="0.35">
      <c r="D44" s="80"/>
      <c r="E44" s="25"/>
      <c r="F44" s="46" t="s">
        <v>0</v>
      </c>
      <c r="G44" s="7" t="s">
        <v>44</v>
      </c>
      <c r="H44" s="49" t="s">
        <v>54</v>
      </c>
      <c r="I44" s="51"/>
      <c r="J44" s="26" t="s">
        <v>41</v>
      </c>
      <c r="K44" s="27" t="s">
        <v>52</v>
      </c>
      <c r="L44" s="31">
        <v>1</v>
      </c>
    </row>
  </sheetData>
  <mergeCells count="40">
    <mergeCell ref="D41:L42"/>
    <mergeCell ref="D43:D44"/>
    <mergeCell ref="D30:F30"/>
    <mergeCell ref="K31:K34"/>
    <mergeCell ref="L31:L34"/>
    <mergeCell ref="F35:F37"/>
    <mergeCell ref="E38:E40"/>
    <mergeCell ref="H38:I40"/>
    <mergeCell ref="F39:F40"/>
    <mergeCell ref="K39:K40"/>
    <mergeCell ref="L39:L40"/>
    <mergeCell ref="H30:J30"/>
    <mergeCell ref="D31:D40"/>
    <mergeCell ref="E31:E37"/>
    <mergeCell ref="F31:F34"/>
    <mergeCell ref="H31:I37"/>
    <mergeCell ref="O11:O13"/>
    <mergeCell ref="H11:I13"/>
    <mergeCell ref="M11:M13"/>
    <mergeCell ref="L4:L7"/>
    <mergeCell ref="N4:N7"/>
    <mergeCell ref="J5:J7"/>
    <mergeCell ref="O4:O7"/>
    <mergeCell ref="O8:O9"/>
    <mergeCell ref="D16:D18"/>
    <mergeCell ref="G4:G7"/>
    <mergeCell ref="M4:M9"/>
    <mergeCell ref="E16:E18"/>
    <mergeCell ref="M3:N3"/>
    <mergeCell ref="N12:N13"/>
    <mergeCell ref="L12:L13"/>
    <mergeCell ref="H3:J3"/>
    <mergeCell ref="F12:F13"/>
    <mergeCell ref="D4:D13"/>
    <mergeCell ref="K12:K13"/>
    <mergeCell ref="E11:E13"/>
    <mergeCell ref="E4:E10"/>
    <mergeCell ref="F8:F10"/>
    <mergeCell ref="H4:I10"/>
    <mergeCell ref="F4:F7"/>
  </mergeCells>
  <phoneticPr fontId="6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1510C-1B37-40AB-AFA2-021412ADBA84}">
  <dimension ref="B4:R24"/>
  <sheetViews>
    <sheetView tabSelected="1" workbookViewId="0">
      <selection activeCell="T5" sqref="T5"/>
    </sheetView>
  </sheetViews>
  <sheetFormatPr defaultRowHeight="16.5" x14ac:dyDescent="0.3"/>
  <cols>
    <col min="3" max="18" width="2.77734375" customWidth="1"/>
  </cols>
  <sheetData>
    <row r="4" spans="2:18" ht="17.25" thickBot="1" x14ac:dyDescent="0.35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</row>
    <row r="5" spans="2:18" x14ac:dyDescent="0.3">
      <c r="B5">
        <v>1</v>
      </c>
      <c r="C5" s="71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3"/>
    </row>
    <row r="6" spans="2:18" x14ac:dyDescent="0.3">
      <c r="B6">
        <v>2</v>
      </c>
      <c r="C6" s="74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75"/>
    </row>
    <row r="7" spans="2:18" x14ac:dyDescent="0.3">
      <c r="B7">
        <v>3</v>
      </c>
      <c r="C7" s="146" t="s">
        <v>79</v>
      </c>
      <c r="D7" s="92"/>
      <c r="E7" s="92"/>
      <c r="F7" s="92"/>
      <c r="G7" s="1" t="s">
        <v>78</v>
      </c>
      <c r="H7" s="92" t="s">
        <v>80</v>
      </c>
      <c r="I7" s="92"/>
      <c r="J7" s="92"/>
      <c r="K7" s="92"/>
      <c r="L7" s="1" t="s">
        <v>78</v>
      </c>
      <c r="M7" s="92" t="s">
        <v>81</v>
      </c>
      <c r="N7" s="92"/>
      <c r="O7" s="92"/>
      <c r="P7" s="92"/>
      <c r="Q7" s="1"/>
      <c r="R7" s="75"/>
    </row>
    <row r="8" spans="2:18" ht="17.25" thickBot="1" x14ac:dyDescent="0.35">
      <c r="B8">
        <v>4</v>
      </c>
      <c r="C8" s="154" t="s">
        <v>82</v>
      </c>
      <c r="D8" s="93"/>
      <c r="E8" s="93"/>
      <c r="F8" s="93"/>
      <c r="G8" s="93"/>
      <c r="H8" s="69" t="s">
        <v>78</v>
      </c>
      <c r="I8" s="148" t="s">
        <v>83</v>
      </c>
      <c r="J8" s="148"/>
      <c r="K8" s="148"/>
      <c r="L8" s="148"/>
      <c r="M8" s="69" t="s">
        <v>78</v>
      </c>
      <c r="N8" s="69"/>
      <c r="O8" s="69"/>
      <c r="P8" s="69"/>
      <c r="Q8" s="69" t="s">
        <v>84</v>
      </c>
      <c r="R8" s="15" t="s">
        <v>85</v>
      </c>
    </row>
    <row r="11" spans="2:18" ht="17.25" thickBot="1" x14ac:dyDescent="0.35">
      <c r="C11">
        <v>1</v>
      </c>
      <c r="D11">
        <v>2</v>
      </c>
      <c r="E11">
        <v>3</v>
      </c>
      <c r="F11">
        <v>4</v>
      </c>
      <c r="G11">
        <v>5</v>
      </c>
      <c r="H11">
        <v>6</v>
      </c>
      <c r="I11">
        <v>7</v>
      </c>
      <c r="J11">
        <v>8</v>
      </c>
      <c r="K11">
        <v>9</v>
      </c>
      <c r="L11">
        <v>10</v>
      </c>
      <c r="M11">
        <v>11</v>
      </c>
      <c r="N11">
        <v>12</v>
      </c>
      <c r="O11">
        <v>13</v>
      </c>
      <c r="P11">
        <v>14</v>
      </c>
      <c r="Q11">
        <v>15</v>
      </c>
      <c r="R11">
        <v>16</v>
      </c>
    </row>
    <row r="12" spans="2:18" x14ac:dyDescent="0.3">
      <c r="B12">
        <v>1</v>
      </c>
      <c r="C12" s="149" t="s">
        <v>87</v>
      </c>
      <c r="D12" s="150"/>
      <c r="E12" s="150"/>
      <c r="F12" s="72" t="s">
        <v>78</v>
      </c>
      <c r="G12" s="150" t="s">
        <v>88</v>
      </c>
      <c r="H12" s="150"/>
      <c r="I12" s="150"/>
      <c r="J12" s="72" t="s">
        <v>78</v>
      </c>
      <c r="K12" s="77" t="s">
        <v>65</v>
      </c>
      <c r="L12" s="70" t="s">
        <v>78</v>
      </c>
      <c r="M12" s="76" t="s">
        <v>89</v>
      </c>
      <c r="N12" s="72"/>
      <c r="O12" s="72"/>
      <c r="P12" s="72"/>
      <c r="Q12" s="72"/>
      <c r="R12" s="73"/>
    </row>
    <row r="13" spans="2:18" x14ac:dyDescent="0.3">
      <c r="B13">
        <v>2</v>
      </c>
      <c r="C13" s="151" t="s">
        <v>86</v>
      </c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R13" s="153"/>
    </row>
    <row r="14" spans="2:18" x14ac:dyDescent="0.3">
      <c r="B14">
        <v>3</v>
      </c>
      <c r="C14" s="146" t="s">
        <v>79</v>
      </c>
      <c r="D14" s="92"/>
      <c r="E14" s="92"/>
      <c r="F14" s="92"/>
      <c r="G14" s="1" t="s">
        <v>78</v>
      </c>
      <c r="H14" s="92" t="s">
        <v>80</v>
      </c>
      <c r="I14" s="92"/>
      <c r="J14" s="92"/>
      <c r="K14" s="92"/>
      <c r="L14" s="1" t="s">
        <v>78</v>
      </c>
      <c r="M14" s="92" t="s">
        <v>81</v>
      </c>
      <c r="N14" s="92"/>
      <c r="O14" s="92"/>
      <c r="P14" s="92"/>
      <c r="Q14" s="1"/>
      <c r="R14" s="75"/>
    </row>
    <row r="15" spans="2:18" ht="17.25" thickBot="1" x14ac:dyDescent="0.35">
      <c r="B15">
        <v>4</v>
      </c>
      <c r="C15" s="147" t="s">
        <v>90</v>
      </c>
      <c r="D15" s="148"/>
      <c r="E15" s="148"/>
      <c r="F15" s="148"/>
      <c r="G15" s="148"/>
      <c r="H15" s="69" t="s">
        <v>78</v>
      </c>
      <c r="I15" s="148" t="s">
        <v>83</v>
      </c>
      <c r="J15" s="148"/>
      <c r="K15" s="148"/>
      <c r="L15" s="148"/>
      <c r="M15" s="69" t="s">
        <v>78</v>
      </c>
      <c r="N15" s="69"/>
      <c r="O15" s="69"/>
      <c r="P15" s="69"/>
      <c r="Q15" s="69" t="s">
        <v>84</v>
      </c>
      <c r="R15" s="15" t="s">
        <v>85</v>
      </c>
    </row>
    <row r="18" spans="2:18" ht="17.25" thickBot="1" x14ac:dyDescent="0.35">
      <c r="C18">
        <v>1</v>
      </c>
      <c r="D18">
        <v>2</v>
      </c>
      <c r="E18">
        <v>3</v>
      </c>
      <c r="F18">
        <v>4</v>
      </c>
      <c r="G18">
        <v>5</v>
      </c>
      <c r="H18">
        <v>6</v>
      </c>
      <c r="I18">
        <v>7</v>
      </c>
      <c r="J18">
        <v>8</v>
      </c>
      <c r="K18">
        <v>9</v>
      </c>
      <c r="L18">
        <v>10</v>
      </c>
      <c r="M18">
        <v>11</v>
      </c>
      <c r="N18">
        <v>12</v>
      </c>
      <c r="O18">
        <v>13</v>
      </c>
      <c r="P18">
        <v>14</v>
      </c>
      <c r="Q18">
        <v>15</v>
      </c>
      <c r="R18">
        <v>16</v>
      </c>
    </row>
    <row r="19" spans="2:18" x14ac:dyDescent="0.3">
      <c r="B19">
        <v>1</v>
      </c>
      <c r="C19" s="149" t="s">
        <v>87</v>
      </c>
      <c r="D19" s="150"/>
      <c r="E19" s="150"/>
      <c r="F19" s="72" t="s">
        <v>78</v>
      </c>
      <c r="G19" s="150" t="s">
        <v>88</v>
      </c>
      <c r="H19" s="150"/>
      <c r="I19" s="150"/>
      <c r="J19" s="72" t="s">
        <v>78</v>
      </c>
      <c r="K19" s="77" t="s">
        <v>65</v>
      </c>
      <c r="L19" s="70" t="s">
        <v>78</v>
      </c>
      <c r="M19" s="76" t="s">
        <v>89</v>
      </c>
      <c r="N19" s="72"/>
      <c r="O19" s="72"/>
      <c r="P19" s="72"/>
      <c r="Q19" s="72"/>
      <c r="R19" s="73"/>
    </row>
    <row r="20" spans="2:18" x14ac:dyDescent="0.3">
      <c r="B20">
        <v>2</v>
      </c>
      <c r="C20" s="151" t="s">
        <v>86</v>
      </c>
      <c r="D20" s="152"/>
      <c r="E20" s="152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3"/>
    </row>
    <row r="21" spans="2:18" x14ac:dyDescent="0.3">
      <c r="B21">
        <v>3</v>
      </c>
      <c r="C21" s="146" t="s">
        <v>92</v>
      </c>
      <c r="D21" s="92"/>
      <c r="E21" s="92"/>
      <c r="F21" s="92"/>
      <c r="G21" s="92" t="s">
        <v>93</v>
      </c>
      <c r="H21" s="92"/>
      <c r="I21" s="92"/>
      <c r="J21" s="92"/>
      <c r="K21" s="92" t="s">
        <v>94</v>
      </c>
      <c r="L21" s="92"/>
      <c r="M21" s="92"/>
      <c r="N21" s="92"/>
      <c r="O21" s="92" t="s">
        <v>95</v>
      </c>
      <c r="P21" s="92"/>
      <c r="Q21" s="92"/>
      <c r="R21" s="145"/>
    </row>
    <row r="22" spans="2:18" ht="17.25" thickBot="1" x14ac:dyDescent="0.35">
      <c r="B22">
        <v>4</v>
      </c>
      <c r="C22" s="147" t="s">
        <v>90</v>
      </c>
      <c r="D22" s="148"/>
      <c r="E22" s="148"/>
      <c r="F22" s="148"/>
      <c r="G22" s="148"/>
      <c r="H22" s="69" t="s">
        <v>78</v>
      </c>
      <c r="I22" s="148" t="s">
        <v>83</v>
      </c>
      <c r="J22" s="148"/>
      <c r="K22" s="148"/>
      <c r="L22" s="148"/>
      <c r="M22" s="69" t="s">
        <v>78</v>
      </c>
      <c r="N22" s="69"/>
      <c r="O22" s="69"/>
      <c r="P22" s="69"/>
      <c r="Q22" s="69" t="s">
        <v>84</v>
      </c>
      <c r="R22" s="15" t="s">
        <v>85</v>
      </c>
    </row>
    <row r="23" spans="2:18" x14ac:dyDescent="0.3">
      <c r="G23">
        <v>1</v>
      </c>
      <c r="H23">
        <v>6</v>
      </c>
      <c r="I23">
        <v>11</v>
      </c>
    </row>
    <row r="24" spans="2:18" x14ac:dyDescent="0.3">
      <c r="G24">
        <f>H23-G23</f>
        <v>5</v>
      </c>
      <c r="H24">
        <f>I23-H23</f>
        <v>5</v>
      </c>
    </row>
  </sheetData>
  <mergeCells count="22">
    <mergeCell ref="C19:E19"/>
    <mergeCell ref="G19:I19"/>
    <mergeCell ref="C20:R20"/>
    <mergeCell ref="C7:F7"/>
    <mergeCell ref="H7:K7"/>
    <mergeCell ref="M7:P7"/>
    <mergeCell ref="C8:G8"/>
    <mergeCell ref="I8:L8"/>
    <mergeCell ref="C15:G15"/>
    <mergeCell ref="I15:L15"/>
    <mergeCell ref="C13:R13"/>
    <mergeCell ref="C12:E12"/>
    <mergeCell ref="G12:I12"/>
    <mergeCell ref="C14:F14"/>
    <mergeCell ref="H14:K14"/>
    <mergeCell ref="M14:P14"/>
    <mergeCell ref="O21:R21"/>
    <mergeCell ref="C21:F21"/>
    <mergeCell ref="C22:G22"/>
    <mergeCell ref="I22:L22"/>
    <mergeCell ref="G21:J21"/>
    <mergeCell ref="K21:N2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黄昊</dc:creator>
  <cp:lastModifiedBy>h .</cp:lastModifiedBy>
  <dcterms:created xsi:type="dcterms:W3CDTF">2025-07-30T07:27:40Z</dcterms:created>
  <dcterms:modified xsi:type="dcterms:W3CDTF">2026-10-13T02:35:29Z</dcterms:modified>
</cp:coreProperties>
</file>